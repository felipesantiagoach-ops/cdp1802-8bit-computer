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lioboher\Mi unidad\Facultad\5to (2022)\Proyecto y Diseño Electrónico\sistema minimo\comunicación serial\"/>
    </mc:Choice>
  </mc:AlternateContent>
  <xr:revisionPtr revIDLastSave="0" documentId="13_ncr:1_{577FAB85-8BDC-4F2B-AEC7-B12F5CC68D1F}" xr6:coauthVersionLast="47" xr6:coauthVersionMax="47" xr10:uidLastSave="{00000000-0000-0000-0000-000000000000}"/>
  <bookViews>
    <workbookView xWindow="-108" yWindow="-108" windowWidth="23256" windowHeight="12576" xr2:uid="{401C898E-9854-4010-95F9-0642283F05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7" i="1"/>
  <c r="E8" i="1"/>
  <c r="E9" i="1"/>
  <c r="E10" i="1"/>
  <c r="E11" i="1"/>
  <c r="E12" i="1"/>
  <c r="E7" i="1"/>
  <c r="D8" i="1"/>
  <c r="D9" i="1"/>
  <c r="D10" i="1"/>
  <c r="D11" i="1"/>
  <c r="D12" i="1"/>
  <c r="D7" i="1"/>
  <c r="B1" i="1"/>
  <c r="B9" i="1"/>
  <c r="B10" i="1"/>
  <c r="B11" i="1"/>
  <c r="B12" i="1"/>
  <c r="B8" i="1"/>
  <c r="B7" i="1"/>
  <c r="C12" i="1" l="1"/>
  <c r="C11" i="1"/>
  <c r="C10" i="1"/>
  <c r="C7" i="1"/>
  <c r="C8" i="1"/>
  <c r="C9" i="1"/>
</calcChain>
</file>

<file path=xl/sharedStrings.xml><?xml version="1.0" encoding="utf-8"?>
<sst xmlns="http://schemas.openxmlformats.org/spreadsheetml/2006/main" count="8" uniqueCount="8">
  <si>
    <t>T</t>
  </si>
  <si>
    <t>BaudRate (baud)</t>
  </si>
  <si>
    <t>Retardo=1bit-time (s)</t>
  </si>
  <si>
    <t>F</t>
  </si>
  <si>
    <t>R1 teorico (byte)</t>
  </si>
  <si>
    <t>R1 real (byte)</t>
  </si>
  <si>
    <t>Retardo Real</t>
  </si>
  <si>
    <t>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</si>
</sst>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164" fontId="0" fillId="0" borderId="0" xfId="0" applyNumberFormat="1"/>
    <xf numFmtId="164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8633-0AC3-484E-A392-407184CD6788}">
  <dimension ref="A1:F12"/>
  <sheetViews>
    <sheetView tabSelected="1" workbookViewId="0">
      <selection activeCell="G10" sqref="G10"/>
    </sheetView>
  </sheetViews>
  <sheetFormatPr baseColWidth="10" defaultRowHeight="14.4" x14ac:dyDescent="0.3"/>
  <cols>
    <col min="1" max="1" width="14.44140625" bestFit="1" customWidth="1"/>
    <col min="2" max="2" width="18.44140625" bestFit="1" customWidth="1"/>
    <col min="3" max="3" width="15.44140625" customWidth="1"/>
    <col min="4" max="4" width="11.77734375" bestFit="1" customWidth="1"/>
    <col min="5" max="5" width="13.44140625" bestFit="1" customWidth="1"/>
    <col min="6" max="6" width="15.33203125" customWidth="1"/>
  </cols>
  <sheetData>
    <row r="1" spans="1:6" x14ac:dyDescent="0.3">
      <c r="A1" t="s">
        <v>0</v>
      </c>
      <c r="B1" s="5">
        <f>1/E2</f>
        <v>2.4999999999999999E-7</v>
      </c>
      <c r="E1" t="s">
        <v>3</v>
      </c>
    </row>
    <row r="2" spans="1:6" x14ac:dyDescent="0.3">
      <c r="B2" s="1"/>
      <c r="E2" s="5">
        <v>4000000</v>
      </c>
    </row>
    <row r="3" spans="1:6" x14ac:dyDescent="0.3">
      <c r="B3" s="1"/>
      <c r="E3" s="5">
        <v>3579595</v>
      </c>
    </row>
    <row r="6" spans="1:6" x14ac:dyDescent="0.3">
      <c r="A6" s="4" t="s">
        <v>1</v>
      </c>
      <c r="B6" s="4" t="s">
        <v>2</v>
      </c>
      <c r="C6" s="4" t="s">
        <v>4</v>
      </c>
      <c r="D6" s="4" t="s">
        <v>5</v>
      </c>
      <c r="E6" s="4" t="s">
        <v>6</v>
      </c>
      <c r="F6" s="4" t="s">
        <v>7</v>
      </c>
    </row>
    <row r="7" spans="1:6" x14ac:dyDescent="0.3">
      <c r="A7" s="2">
        <v>300</v>
      </c>
      <c r="B7" s="2">
        <f>1/A7</f>
        <v>3.3333333333333335E-3</v>
      </c>
      <c r="C7" s="3">
        <f t="shared" ref="C7:C12" si="0">(B7/($B$1*48))-(4/3)</f>
        <v>276.44444444444446</v>
      </c>
      <c r="D7" s="3">
        <f>ROUND(C7,0)</f>
        <v>276</v>
      </c>
      <c r="E7" s="6">
        <f>16*(4+3*D7)*$B$1</f>
        <v>3.3279999999999998E-3</v>
      </c>
      <c r="F7" s="7">
        <f>(E7-B7)/B7*100</f>
        <v>-0.16000000000001258</v>
      </c>
    </row>
    <row r="8" spans="1:6" x14ac:dyDescent="0.3">
      <c r="A8" s="2">
        <v>600</v>
      </c>
      <c r="B8" s="2">
        <f>1/A8</f>
        <v>1.6666666666666668E-3</v>
      </c>
      <c r="C8" s="3">
        <f t="shared" si="0"/>
        <v>137.55555555555554</v>
      </c>
      <c r="D8" s="3">
        <f t="shared" ref="D8:D12" si="1">ROUND(C8,0)</f>
        <v>138</v>
      </c>
      <c r="E8" s="6">
        <f t="shared" ref="E8:E12" si="2">16*(4+3*D8)*$B$1</f>
        <v>1.6719999999999999E-3</v>
      </c>
      <c r="F8" s="7">
        <f t="shared" ref="F8:F12" si="3">(E8-B8)/B8*100</f>
        <v>0.31999999999998607</v>
      </c>
    </row>
    <row r="9" spans="1:6" x14ac:dyDescent="0.3">
      <c r="A9" s="2">
        <v>1200</v>
      </c>
      <c r="B9" s="2">
        <f t="shared" ref="B9:B12" si="4">1/A9</f>
        <v>8.3333333333333339E-4</v>
      </c>
      <c r="C9" s="3">
        <f t="shared" si="0"/>
        <v>68.111111111111114</v>
      </c>
      <c r="D9" s="3">
        <f t="shared" si="1"/>
        <v>68</v>
      </c>
      <c r="E9" s="6">
        <f t="shared" si="2"/>
        <v>8.3199999999999995E-4</v>
      </c>
      <c r="F9" s="7">
        <f t="shared" si="3"/>
        <v>-0.16000000000001258</v>
      </c>
    </row>
    <row r="10" spans="1:6" x14ac:dyDescent="0.3">
      <c r="A10" s="2">
        <v>2400</v>
      </c>
      <c r="B10" s="2">
        <f t="shared" si="4"/>
        <v>4.1666666666666669E-4</v>
      </c>
      <c r="C10" s="3">
        <f t="shared" si="0"/>
        <v>33.388888888888886</v>
      </c>
      <c r="D10" s="3">
        <f t="shared" si="1"/>
        <v>33</v>
      </c>
      <c r="E10" s="6">
        <f t="shared" si="2"/>
        <v>4.1199999999999999E-4</v>
      </c>
      <c r="F10" s="7">
        <f t="shared" si="3"/>
        <v>-1.1200000000000099</v>
      </c>
    </row>
    <row r="11" spans="1:6" x14ac:dyDescent="0.3">
      <c r="A11" s="2">
        <v>4800</v>
      </c>
      <c r="B11" s="2">
        <f t="shared" si="4"/>
        <v>2.0833333333333335E-4</v>
      </c>
      <c r="C11" s="3">
        <f t="shared" si="0"/>
        <v>16.027777777777779</v>
      </c>
      <c r="D11" s="3">
        <f t="shared" si="1"/>
        <v>16</v>
      </c>
      <c r="E11" s="6">
        <f t="shared" si="2"/>
        <v>2.0799999999999999E-4</v>
      </c>
      <c r="F11" s="7">
        <f t="shared" si="3"/>
        <v>-0.16000000000001258</v>
      </c>
    </row>
    <row r="12" spans="1:6" x14ac:dyDescent="0.3">
      <c r="A12" s="2">
        <v>9600</v>
      </c>
      <c r="B12" s="2">
        <f t="shared" si="4"/>
        <v>1.0416666666666667E-4</v>
      </c>
      <c r="C12" s="3">
        <f t="shared" si="0"/>
        <v>7.3472222222222223</v>
      </c>
      <c r="D12" s="3">
        <f t="shared" si="1"/>
        <v>7</v>
      </c>
      <c r="E12" s="6">
        <f t="shared" si="2"/>
        <v>9.9999999999999991E-5</v>
      </c>
      <c r="F12" s="7">
        <f t="shared" si="3"/>
        <v>-4.0000000000000142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Atilio Boher</dc:creator>
  <cp:lastModifiedBy>Atilio Boher</cp:lastModifiedBy>
  <dcterms:created xsi:type="dcterms:W3CDTF">2022-06-23T17:00:57Z</dcterms:created>
  <dcterms:modified xsi:type="dcterms:W3CDTF">2022-10-10T17:21:32Z</dcterms:modified>
</cp:coreProperties>
</file>